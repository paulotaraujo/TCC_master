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<sst xmlns="http://schemas.openxmlformats.org/spreadsheetml/2006/main" count="105" uniqueCount="46">
  <si>
    <t xml:space="preserve">G1</t>
  </si>
  <si>
    <t xml:space="preserve">T1</t>
  </si>
  <si>
    <t xml:space="preserve">LT</t>
  </si>
  <si>
    <t xml:space="preserve">T2</t>
  </si>
  <si>
    <t xml:space="preserve">G2</t>
  </si>
  <si>
    <t xml:space="preserve">R</t>
  </si>
  <si>
    <t xml:space="preserve">X</t>
  </si>
  <si>
    <t xml:space="preserve">positiveZ</t>
  </si>
  <si>
    <t xml:space="preserve">negativeZ</t>
  </si>
  <si>
    <t xml:space="preserve">zeroZ</t>
  </si>
  <si>
    <t xml:space="preserve">%</t>
  </si>
  <si>
    <t xml:space="preserve">Esquerda</t>
  </si>
  <si>
    <t xml:space="preserve">Direita</t>
  </si>
  <si>
    <t xml:space="preserve">Km</t>
  </si>
  <si>
    <t xml:space="preserve">Base</t>
  </si>
  <si>
    <t xml:space="preserve">Sbase</t>
  </si>
  <si>
    <t xml:space="preserve">Vbase</t>
  </si>
  <si>
    <t xml:space="preserve">Ibase</t>
  </si>
  <si>
    <t xml:space="preserve">Zbase</t>
  </si>
  <si>
    <t xml:space="preserve">Vl</t>
  </si>
  <si>
    <t xml:space="preserve">Vpu</t>
  </si>
  <si>
    <t xml:space="preserve">angle</t>
  </si>
  <si>
    <t xml:space="preserve">retangular</t>
  </si>
  <si>
    <t xml:space="preserve">Source V1</t>
  </si>
  <si>
    <t xml:space="preserve">Source V2</t>
  </si>
  <si>
    <t xml:space="preserve">CURTO CIRCUITO TRIFASICO</t>
  </si>
  <si>
    <t xml:space="preserve">Medição na Barra 2</t>
  </si>
  <si>
    <t xml:space="preserve">Medição na Barra 3</t>
  </si>
  <si>
    <t xml:space="preserve">No curto-circuito</t>
  </si>
  <si>
    <t xml:space="preserve">IMPEDANCIA da LT</t>
  </si>
  <si>
    <t xml:space="preserve">Simulink</t>
  </si>
  <si>
    <t xml:space="preserve">Vrms(fase)</t>
  </si>
  <si>
    <t xml:space="preserve">I pu</t>
  </si>
  <si>
    <t xml:space="preserve">Irms</t>
  </si>
  <si>
    <t xml:space="preserve">V pu</t>
  </si>
  <si>
    <t xml:space="preserve">Vrms</t>
  </si>
  <si>
    <t xml:space="preserve">Real</t>
  </si>
  <si>
    <t xml:space="preserve">Medida(Esq)</t>
  </si>
  <si>
    <t xml:space="preserve">Medida(Dir)</t>
  </si>
  <si>
    <t xml:space="preserve">10%LT</t>
  </si>
  <si>
    <t xml:space="preserve">OK</t>
  </si>
  <si>
    <t xml:space="preserve">25%LT</t>
  </si>
  <si>
    <t xml:space="preserve">50%LT</t>
  </si>
  <si>
    <t xml:space="preserve">75%LT</t>
  </si>
  <si>
    <t xml:space="preserve">OBS: Quanto maior a linha, maior o efeito capacitivo na tensão e na corrente!!! Perceptivel na comparação entre calculo e simulação no Simulink!</t>
  </si>
  <si>
    <t xml:space="preserve">CURTO CIRCUITO BIFASICO (AB)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</si>
</sst>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0000"/>
    <numFmt numFmtId="167" formatCode="0.000"/>
    <numFmt numFmtId="168" formatCode="0.0"/>
    <numFmt numFmtId="169" formatCode="0"/>
    <numFmt numFmtId="170" formatCode="0.000000000000"/>
    <numFmt numFmtId="171" formatCode="0.00000"/>
    <numFmt numFmtId="172" formatCode="0.00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54"/>
  <sheetViews>
    <sheetView showFormulas="false" showGridLines="true" showRowColHeaders="true" showZeros="true" rightToLeft="false" tabSelected="true" showOutlineSymbols="true" defaultGridColor="true" view="normal" topLeftCell="F1" colorId="64" zoomScale="120" zoomScaleNormal="120" zoomScalePageLayoutView="100" workbookViewId="0">
      <selection pane="topLeft" activeCell="S23" activeCellId="0" sqref="S2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2.79"/>
    <col collapsed="false" customWidth="true" hidden="false" outlineLevel="0" max="3" min="3" style="1" width="16.55"/>
    <col collapsed="false" customWidth="true" hidden="false" outlineLevel="0" max="4" min="4" style="1" width="15.87"/>
    <col collapsed="false" customWidth="true" hidden="true" outlineLevel="0" max="5" min="5" style="1" width="43.01"/>
    <col collapsed="false" customWidth="true" hidden="false" outlineLevel="0" max="6" min="6" style="1" width="16.58"/>
    <col collapsed="false" customWidth="true" hidden="false" outlineLevel="0" max="7" min="7" style="1" width="13.44"/>
    <col collapsed="false" customWidth="true" hidden="false" outlineLevel="0" max="9" min="8" style="1" width="13.22"/>
    <col collapsed="false" customWidth="true" hidden="true" outlineLevel="0" max="10" min="10" style="1" width="42.79"/>
    <col collapsed="false" customWidth="true" hidden="false" outlineLevel="0" max="11" min="11" style="1" width="13.56"/>
    <col collapsed="false" customWidth="true" hidden="false" outlineLevel="0" max="15" min="15" style="1" width="16.55"/>
    <col collapsed="false" customWidth="true" hidden="false" outlineLevel="0" max="16" min="16" style="1" width="4.52"/>
    <col collapsed="false" customWidth="true" hidden="false" outlineLevel="0" max="17" min="17" style="1" width="12.88"/>
  </cols>
  <sheetData>
    <row r="2" customFormat="false" ht="12.8" hidden="false" customHeight="false" outlineLevel="0" collapsed="false">
      <c r="A2" s="2"/>
      <c r="B2" s="3" t="s">
        <v>0</v>
      </c>
      <c r="C2" s="3"/>
      <c r="D2" s="3" t="s">
        <v>1</v>
      </c>
      <c r="E2" s="3"/>
      <c r="F2" s="3"/>
      <c r="G2" s="3" t="s">
        <v>2</v>
      </c>
      <c r="H2" s="3"/>
      <c r="I2" s="3" t="s">
        <v>3</v>
      </c>
      <c r="J2" s="3"/>
      <c r="K2" s="3"/>
      <c r="L2" s="3" t="s">
        <v>4</v>
      </c>
      <c r="M2" s="3"/>
    </row>
    <row r="3" customFormat="false" ht="12.8" hidden="false" customHeight="false" outlineLevel="0" collapsed="false">
      <c r="A3" s="2"/>
      <c r="B3" s="4" t="s">
        <v>5</v>
      </c>
      <c r="C3" s="4" t="s">
        <v>6</v>
      </c>
      <c r="D3" s="4" t="s">
        <v>5</v>
      </c>
      <c r="E3" s="4"/>
      <c r="F3" s="4" t="s">
        <v>6</v>
      </c>
      <c r="G3" s="4" t="s">
        <v>5</v>
      </c>
      <c r="H3" s="4" t="s">
        <v>6</v>
      </c>
      <c r="I3" s="4" t="s">
        <v>5</v>
      </c>
      <c r="J3" s="4"/>
      <c r="K3" s="4" t="s">
        <v>6</v>
      </c>
      <c r="L3" s="4" t="s">
        <v>5</v>
      </c>
      <c r="M3" s="4" t="s">
        <v>6</v>
      </c>
    </row>
    <row r="4" customFormat="false" ht="12.8" hidden="false" customHeight="false" outlineLevel="0" collapsed="false">
      <c r="A4" s="1" t="s">
        <v>7</v>
      </c>
      <c r="B4" s="4" t="n">
        <v>0.00838</v>
      </c>
      <c r="C4" s="4" t="n">
        <v>0.2878</v>
      </c>
      <c r="D4" s="4" t="n">
        <v>0.00716</v>
      </c>
      <c r="E4" s="4"/>
      <c r="F4" s="4" t="n">
        <v>0.3761</v>
      </c>
      <c r="G4" s="4" t="n">
        <v>9.6842E-005</v>
      </c>
      <c r="H4" s="4" t="n">
        <v>0.0016432</v>
      </c>
      <c r="I4" s="4" t="n">
        <v>0.00954</v>
      </c>
      <c r="J4" s="4"/>
      <c r="K4" s="4" t="n">
        <v>0.3761</v>
      </c>
      <c r="L4" s="4" t="n">
        <v>0.04619</v>
      </c>
      <c r="M4" s="4" t="n">
        <v>0.2771</v>
      </c>
    </row>
    <row r="5" customFormat="false" ht="12.8" hidden="false" customHeight="false" outlineLevel="0" collapsed="false">
      <c r="A5" s="1" t="s">
        <v>8</v>
      </c>
      <c r="B5" s="4" t="n">
        <v>0.00838</v>
      </c>
      <c r="C5" s="4" t="n">
        <v>0.2878</v>
      </c>
      <c r="D5" s="4" t="n">
        <v>0.00716</v>
      </c>
      <c r="E5" s="4"/>
      <c r="F5" s="4" t="n">
        <v>0.3761</v>
      </c>
      <c r="G5" s="4" t="n">
        <v>9.6842E-005</v>
      </c>
      <c r="H5" s="4" t="n">
        <v>0.0016432</v>
      </c>
      <c r="I5" s="4" t="n">
        <v>0.00954</v>
      </c>
      <c r="J5" s="4"/>
      <c r="K5" s="4" t="n">
        <v>0.3761</v>
      </c>
      <c r="L5" s="4" t="n">
        <v>0.04619</v>
      </c>
      <c r="M5" s="4" t="n">
        <v>0.2771</v>
      </c>
    </row>
    <row r="6" customFormat="false" ht="12.8" hidden="false" customHeight="false" outlineLevel="0" collapsed="false">
      <c r="A6" s="1" t="s">
        <v>9</v>
      </c>
    </row>
    <row r="9" customFormat="false" ht="12.8" hidden="false" customHeight="false" outlineLevel="0" collapsed="false">
      <c r="B9" s="3" t="s">
        <v>0</v>
      </c>
      <c r="C9" s="3"/>
      <c r="D9" s="3" t="s">
        <v>1</v>
      </c>
      <c r="E9" s="3"/>
      <c r="F9" s="3"/>
      <c r="G9" s="3" t="s">
        <v>2</v>
      </c>
      <c r="H9" s="3"/>
      <c r="I9" s="3" t="s">
        <v>3</v>
      </c>
      <c r="J9" s="3"/>
      <c r="K9" s="3"/>
      <c r="L9" s="3" t="s">
        <v>4</v>
      </c>
      <c r="M9" s="3"/>
    </row>
    <row r="10" customFormat="false" ht="12.8" hidden="false" customHeight="false" outlineLevel="0" collapsed="false">
      <c r="A10" s="1" t="s">
        <v>7</v>
      </c>
      <c r="B10" s="3" t="str">
        <f aca="false">COMPLEX(B4,C4,"j")</f>
        <v>0,00838+0,2878j</v>
      </c>
      <c r="C10" s="3"/>
      <c r="D10" s="3" t="str">
        <f aca="false">COMPLEX(D4,F4,"j")</f>
        <v>0,00716+0,3761j</v>
      </c>
      <c r="E10" s="3"/>
      <c r="F10" s="3"/>
      <c r="G10" s="3" t="str">
        <f aca="false">COMPLEX(G4,H4,"j")</f>
        <v>9,6842e-05+0,0016432j</v>
      </c>
      <c r="H10" s="3"/>
      <c r="I10" s="3" t="str">
        <f aca="false">COMPLEX(I4,K4,"j")</f>
        <v>0,00954+0,3761j</v>
      </c>
      <c r="J10" s="3"/>
      <c r="K10" s="3"/>
      <c r="L10" s="3" t="str">
        <f aca="false">COMPLEX(L4,M4,"j")</f>
        <v>0,04619+0,2771j</v>
      </c>
      <c r="M10" s="3"/>
    </row>
    <row r="11" customFormat="false" ht="12.8" hidden="false" customHeight="false" outlineLevel="0" collapsed="false">
      <c r="A11" s="1" t="s">
        <v>8</v>
      </c>
      <c r="B11" s="3" t="str">
        <f aca="false">COMPLEX(B5,C5,"j")</f>
        <v>0,00838+0,2878j</v>
      </c>
      <c r="C11" s="3"/>
      <c r="D11" s="3" t="str">
        <f aca="false">COMPLEX(D5,F5,"j")</f>
        <v>0,00716+0,3761j</v>
      </c>
      <c r="E11" s="3"/>
      <c r="F11" s="3"/>
      <c r="G11" s="3" t="str">
        <f aca="false">COMPLEX(G5,H5,"j")</f>
        <v>9,6842e-05+0,0016432j</v>
      </c>
      <c r="H11" s="3"/>
      <c r="I11" s="3" t="str">
        <f aca="false">COMPLEX(I5,K5,"j")</f>
        <v>0,00954+0,3761j</v>
      </c>
      <c r="J11" s="3"/>
      <c r="K11" s="3"/>
      <c r="L11" s="3" t="str">
        <f aca="false">COMPLEX(L5,M5,"j")</f>
        <v>0,04619+0,2771j</v>
      </c>
      <c r="M11" s="3"/>
    </row>
    <row r="12" customFormat="false" ht="12.8" hidden="false" customHeight="false" outlineLevel="0" collapsed="false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6" customFormat="false" ht="12.8" hidden="false" customHeight="false" outlineLevel="0" collapsed="false">
      <c r="A16" s="5" t="s">
        <v>2</v>
      </c>
      <c r="B16" s="6" t="n">
        <v>10</v>
      </c>
      <c r="C16" s="6"/>
      <c r="D16" s="6" t="n">
        <v>25</v>
      </c>
      <c r="E16" s="6"/>
      <c r="F16" s="6"/>
      <c r="G16" s="6" t="n">
        <v>50</v>
      </c>
      <c r="H16" s="6"/>
      <c r="I16" s="6" t="n">
        <v>75</v>
      </c>
      <c r="J16" s="6"/>
      <c r="K16" s="6"/>
      <c r="L16" s="7" t="s">
        <v>10</v>
      </c>
      <c r="N16" s="7" t="n">
        <v>1</v>
      </c>
    </row>
    <row r="17" customFormat="false" ht="12.8" hidden="false" customHeight="false" outlineLevel="0" collapsed="false">
      <c r="A17" s="5"/>
      <c r="B17" s="4" t="s">
        <v>11</v>
      </c>
      <c r="C17" s="4" t="s">
        <v>12</v>
      </c>
      <c r="D17" s="4" t="s">
        <v>11</v>
      </c>
      <c r="E17" s="4"/>
      <c r="F17" s="4" t="s">
        <v>12</v>
      </c>
      <c r="G17" s="4" t="s">
        <v>11</v>
      </c>
      <c r="H17" s="4" t="s">
        <v>12</v>
      </c>
      <c r="I17" s="4" t="s">
        <v>11</v>
      </c>
      <c r="J17" s="4"/>
      <c r="K17" s="4" t="s">
        <v>12</v>
      </c>
      <c r="N17" s="1" t="n">
        <v>190</v>
      </c>
      <c r="O17" s="1" t="s">
        <v>13</v>
      </c>
    </row>
    <row r="18" customFormat="false" ht="12.8" hidden="false" customHeight="false" outlineLevel="0" collapsed="false">
      <c r="A18" s="5"/>
      <c r="B18" s="4" t="n">
        <f aca="false">(N17/100)*B16</f>
        <v>19</v>
      </c>
      <c r="C18" s="4" t="n">
        <f aca="false">N17-B18</f>
        <v>171</v>
      </c>
      <c r="D18" s="4" t="n">
        <f aca="false">(N17/100)*D16</f>
        <v>47.5</v>
      </c>
      <c r="E18" s="4"/>
      <c r="F18" s="4" t="n">
        <f aca="false">N17-D18</f>
        <v>142.5</v>
      </c>
      <c r="G18" s="4" t="n">
        <f aca="false">(N17/100)*G16</f>
        <v>95</v>
      </c>
      <c r="H18" s="4" t="n">
        <f aca="false">N17-G18</f>
        <v>95</v>
      </c>
      <c r="I18" s="4" t="n">
        <f aca="false">(N17/100)*I16</f>
        <v>142.5</v>
      </c>
      <c r="J18" s="4"/>
      <c r="K18" s="4" t="n">
        <f aca="false">N17-I18</f>
        <v>47.5</v>
      </c>
      <c r="L18" s="1" t="s">
        <v>13</v>
      </c>
    </row>
    <row r="20" customFormat="false" ht="12.8" hidden="false" customHeight="false" outlineLevel="0" collapsed="false">
      <c r="A20" s="8" t="s">
        <v>14</v>
      </c>
      <c r="C20" s="4" t="s">
        <v>0</v>
      </c>
      <c r="D20" s="4" t="s">
        <v>1</v>
      </c>
      <c r="E20" s="4"/>
      <c r="F20" s="4" t="s">
        <v>2</v>
      </c>
      <c r="G20" s="4" t="s">
        <v>3</v>
      </c>
      <c r="H20" s="4" t="s">
        <v>4</v>
      </c>
    </row>
    <row r="21" customFormat="false" ht="12.8" hidden="false" customHeight="false" outlineLevel="0" collapsed="false">
      <c r="A21" s="8"/>
      <c r="B21" s="9" t="s">
        <v>15</v>
      </c>
      <c r="C21" s="1" t="n">
        <v>1500000000</v>
      </c>
      <c r="D21" s="1" t="n">
        <v>1500000000</v>
      </c>
      <c r="F21" s="1" t="n">
        <v>1500000000</v>
      </c>
      <c r="G21" s="1" t="n">
        <v>1500000000</v>
      </c>
      <c r="H21" s="1" t="n">
        <v>1500000000</v>
      </c>
    </row>
    <row r="22" customFormat="false" ht="12.8" hidden="false" customHeight="false" outlineLevel="0" collapsed="false">
      <c r="A22" s="8"/>
      <c r="B22" s="9" t="s">
        <v>16</v>
      </c>
      <c r="C22" s="1" t="n">
        <v>15000</v>
      </c>
      <c r="D22" s="1" t="n">
        <v>500000</v>
      </c>
      <c r="F22" s="1" t="n">
        <v>500000</v>
      </c>
      <c r="G22" s="1" t="n">
        <v>500000</v>
      </c>
      <c r="H22" s="1" t="n">
        <v>500000</v>
      </c>
    </row>
    <row r="23" customFormat="false" ht="12.8" hidden="false" customHeight="false" outlineLevel="0" collapsed="false">
      <c r="A23" s="8"/>
      <c r="B23" s="9" t="s">
        <v>17</v>
      </c>
      <c r="C23" s="10" t="n">
        <f aca="false">C21/((SQRT(3)*C22))</f>
        <v>57735.0269189626</v>
      </c>
      <c r="D23" s="10" t="n">
        <f aca="false">D21/((SQRT(3)*D22))</f>
        <v>1732.05080756888</v>
      </c>
      <c r="E23" s="10"/>
      <c r="F23" s="10" t="n">
        <f aca="false">F21/((SQRT(3)*F22))</f>
        <v>1732.05080756888</v>
      </c>
      <c r="G23" s="10" t="n">
        <f aca="false">G21/((SQRT(3)*G22))</f>
        <v>1732.05080756888</v>
      </c>
      <c r="H23" s="10" t="n">
        <f aca="false">H21/((SQRT(3)*H22))</f>
        <v>1732.05080756888</v>
      </c>
    </row>
    <row r="24" customFormat="false" ht="12.8" hidden="false" customHeight="false" outlineLevel="0" collapsed="false">
      <c r="A24" s="8"/>
      <c r="B24" s="9" t="s">
        <v>18</v>
      </c>
      <c r="C24" s="11" t="n">
        <f aca="false">(C22*C22)/C21</f>
        <v>0.15</v>
      </c>
      <c r="D24" s="11" t="n">
        <f aca="false">(D22*D22)/D21</f>
        <v>166.666666666667</v>
      </c>
      <c r="E24" s="11"/>
      <c r="F24" s="11" t="n">
        <f aca="false">(F22*F22)/F21</f>
        <v>166.666666666667</v>
      </c>
      <c r="G24" s="11" t="n">
        <f aca="false">(G22*G22)/G21</f>
        <v>166.666666666667</v>
      </c>
      <c r="H24" s="11" t="n">
        <f aca="false">(H22*H22)/H21</f>
        <v>166.666666666667</v>
      </c>
    </row>
    <row r="26" customFormat="false" ht="12.8" hidden="false" customHeight="false" outlineLevel="0" collapsed="false">
      <c r="B26" s="1" t="s">
        <v>19</v>
      </c>
      <c r="C26" s="4" t="s">
        <v>20</v>
      </c>
      <c r="D26" s="4" t="s">
        <v>21</v>
      </c>
      <c r="E26" s="3" t="s">
        <v>22</v>
      </c>
      <c r="F26" s="3"/>
      <c r="G26" s="3"/>
    </row>
    <row r="27" customFormat="false" ht="12.8" hidden="false" customHeight="false" outlineLevel="0" collapsed="false">
      <c r="A27" s="1" t="s">
        <v>23</v>
      </c>
      <c r="B27" s="1" t="n">
        <v>15300</v>
      </c>
      <c r="C27" s="4" t="n">
        <f aca="false">B27/C22</f>
        <v>1.02</v>
      </c>
      <c r="D27" s="4" t="n">
        <v>3.41</v>
      </c>
      <c r="E27" s="12" t="str">
        <f aca="false">COMPLEX(C27*COS(RADIANS(D27)),C27*SIN(RADIANS(D27)),"j")</f>
        <v>1,01819405104099+0,0606702103567876j</v>
      </c>
      <c r="F27" s="12"/>
      <c r="G27" s="12"/>
    </row>
    <row r="28" customFormat="false" ht="12.8" hidden="false" customHeight="false" outlineLevel="0" collapsed="false">
      <c r="A28" s="1" t="s">
        <v>24</v>
      </c>
      <c r="B28" s="9" t="n">
        <v>501270</v>
      </c>
      <c r="C28" s="4" t="n">
        <f aca="false">B28/H22</f>
        <v>1.00254</v>
      </c>
      <c r="D28" s="4" t="n">
        <v>-40</v>
      </c>
      <c r="E28" s="12" t="str">
        <f aca="false">COMPLEX(C28*COS(RADIANS(D28)),C28*SIN(RADIANS(D28)),"j")</f>
        <v>0,7679901960045-0,644420290215143j</v>
      </c>
      <c r="F28" s="12"/>
      <c r="G28" s="12"/>
    </row>
    <row r="29" customFormat="false" ht="12.8" hidden="false" customHeight="false" outlineLevel="0" collapsed="false">
      <c r="B29" s="4"/>
      <c r="C29" s="4"/>
      <c r="D29" s="13"/>
      <c r="E29" s="13"/>
    </row>
    <row r="30" customFormat="false" ht="12.8" hidden="false" customHeight="false" outlineLevel="0" collapsed="false">
      <c r="B30" s="4"/>
      <c r="C30" s="4"/>
      <c r="D30" s="13"/>
      <c r="E30" s="13"/>
    </row>
    <row r="31" customFormat="false" ht="19.25" hidden="false" customHeight="true" outlineLevel="0" collapsed="false">
      <c r="A31" s="14" t="s">
        <v>25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customFormat="false" ht="12.8" hidden="false" customHeight="false" outlineLevel="0" collapsed="false">
      <c r="B32" s="3" t="s">
        <v>26</v>
      </c>
      <c r="C32" s="3"/>
      <c r="D32" s="3"/>
      <c r="E32" s="3"/>
      <c r="F32" s="3"/>
      <c r="G32" s="3" t="s">
        <v>27</v>
      </c>
      <c r="H32" s="3"/>
      <c r="I32" s="3"/>
      <c r="J32" s="3"/>
      <c r="K32" s="3"/>
      <c r="L32" s="3" t="s">
        <v>28</v>
      </c>
      <c r="M32" s="3"/>
      <c r="N32" s="3"/>
      <c r="O32" s="3"/>
      <c r="Q32" s="3" t="s">
        <v>29</v>
      </c>
      <c r="R32" s="3"/>
      <c r="S32" s="3"/>
      <c r="T32" s="3"/>
      <c r="U32" s="9" t="s">
        <v>30</v>
      </c>
    </row>
    <row r="33" customFormat="false" ht="12.8" hidden="false" customHeight="false" outlineLevel="0" collapsed="false">
      <c r="B33" s="4" t="s">
        <v>20</v>
      </c>
      <c r="C33" s="4" t="s">
        <v>31</v>
      </c>
      <c r="D33" s="4" t="s">
        <v>32</v>
      </c>
      <c r="E33" s="4"/>
      <c r="F33" s="4" t="s">
        <v>33</v>
      </c>
      <c r="G33" s="4" t="s">
        <v>34</v>
      </c>
      <c r="H33" s="4" t="s">
        <v>35</v>
      </c>
      <c r="I33" s="4" t="s">
        <v>32</v>
      </c>
      <c r="J33" s="4"/>
      <c r="K33" s="4" t="s">
        <v>33</v>
      </c>
      <c r="L33" s="4" t="s">
        <v>34</v>
      </c>
      <c r="M33" s="4" t="s">
        <v>35</v>
      </c>
      <c r="N33" s="4" t="s">
        <v>32</v>
      </c>
      <c r="O33" s="4" t="s">
        <v>33</v>
      </c>
      <c r="Q33" s="15" t="s">
        <v>36</v>
      </c>
      <c r="R33" s="4" t="s">
        <v>37</v>
      </c>
      <c r="S33" s="4" t="s">
        <v>38</v>
      </c>
      <c r="T33" s="4" t="s">
        <v>10</v>
      </c>
    </row>
    <row r="34" customFormat="false" ht="12.8" hidden="false" customHeight="false" outlineLevel="0" collapsed="false">
      <c r="A34" s="1" t="s">
        <v>39</v>
      </c>
      <c r="B34" s="16" t="n">
        <f aca="false">IMABS(IMSUB(E27,IMPRODUCT(E34,IMSUM(B10,D10))))</f>
        <v>0.0458776461793521</v>
      </c>
      <c r="C34" s="16" t="n">
        <f aca="false">B34*(F22/(SQRT(3)))</f>
        <v>13243.7356857177</v>
      </c>
      <c r="D34" s="16" t="n">
        <f aca="false">IMABS(IMDIV(E27,IMSUM(B10,D10,IMPRODUCT(B18,G10) )))</f>
        <v>1.4669124083737</v>
      </c>
      <c r="E34" s="16" t="str">
        <f aca="false">IMDIV(E27,IMSUM(B10,D10,IMPRODUCT(B18,G10)))</f>
        <v>0,123826175770252-1,46167680833857j</v>
      </c>
      <c r="F34" s="17" t="n">
        <f aca="false">D34*F23</f>
        <v>2540.76682155647</v>
      </c>
      <c r="G34" s="16" t="n">
        <f aca="false">IMABS(IMSUB(E28,IMPRODUCT(J34,IMSUM(I10,L10))))</f>
        <v>0.301169391927739</v>
      </c>
      <c r="H34" s="16" t="n">
        <f aca="false">G34*(H22/SQRT(3))</f>
        <v>86940.114750578</v>
      </c>
      <c r="I34" s="16" t="n">
        <f aca="false">IMABS(IMDIV(C28,IMSUM(I10,L10,IMPRODUCT(C18,G10) )))</f>
        <v>1.06996944852949</v>
      </c>
      <c r="J34" s="16" t="str">
        <f aca="false">IMDIV(E28,IMSUM(L10,I10,IMPRODUCT(C18,G10)))</f>
        <v>-0,622475839997205-0,870263436785832j</v>
      </c>
      <c r="K34" s="16" t="n">
        <f aca="false">I34*F23</f>
        <v>1853.24144739953</v>
      </c>
      <c r="L34" s="4" t="n">
        <v>0</v>
      </c>
      <c r="M34" s="4" t="n">
        <v>0</v>
      </c>
      <c r="N34" s="16" t="n">
        <f aca="false">IMABS(IMSUM(E34,J34))</f>
        <v>2.38465863269033</v>
      </c>
      <c r="O34" s="18" t="n">
        <f aca="false">N34*F23</f>
        <v>4130.34991052738</v>
      </c>
      <c r="Q34" s="16" t="n">
        <f aca="false">IMABS(IMPRODUCT(D24,IMPRODUCT(N17,G10)))</f>
        <v>52.1249552432531</v>
      </c>
      <c r="R34" s="16" t="n">
        <f aca="false">C34/F34</f>
        <v>5.21249552432545</v>
      </c>
      <c r="S34" s="16" t="n">
        <f aca="false">H34/K34</f>
        <v>46.9124597189278</v>
      </c>
      <c r="T34" s="4" t="n">
        <f aca="false">(R34/Q34)*100</f>
        <v>10.0000000000003</v>
      </c>
      <c r="U34" s="9" t="s">
        <v>40</v>
      </c>
    </row>
    <row r="35" customFormat="false" ht="12.8" hidden="false" customHeight="false" outlineLevel="0" collapsed="false">
      <c r="A35" s="1" t="s">
        <v>41</v>
      </c>
      <c r="B35" s="19" t="n">
        <f aca="false">IMABS(IMSUB(E27,IMPRODUCT(E35,IMSUM(B10,D10))))</f>
        <v>0.107448751713412</v>
      </c>
      <c r="C35" s="16" t="n">
        <f aca="false">B35*(F22/(SQRT(3)))</f>
        <v>31017.7828629139</v>
      </c>
      <c r="D35" s="16" t="n">
        <f aca="false">IMABS(IMDIV(E27,IMSUM(B10,D10,IMPRODUCT(D18,G10) )))</f>
        <v>1.3742458062167</v>
      </c>
      <c r="E35" s="16" t="str">
        <f aca="false">IMDIV(E27,IMSUM(B10,D10,IMPRODUCT(D18,G10)))</f>
        <v>0,118934468200217-1,36908952526054j</v>
      </c>
      <c r="F35" s="17" t="n">
        <f aca="false">D35*F23</f>
        <v>2380.26355845579</v>
      </c>
      <c r="G35" s="16" t="n">
        <f aca="false">IMABS(IMSUB(E28,IMPRODUCT(J35,IMSUM(I10,L10))))</f>
        <v>0.264200041295128</v>
      </c>
      <c r="H35" s="16" t="n">
        <f aca="false">G35*(H22/SQRT(3))</f>
        <v>76267.9824808262</v>
      </c>
      <c r="I35" s="16" t="n">
        <f aca="false">IMABS(IMDIV(C28,IMSUM(I10,L10,IMPRODUCT(F18,G10) )))</f>
        <v>1.12635339471885</v>
      </c>
      <c r="J35" s="16" t="str">
        <f aca="false">IMDIV(E28,IMSUM(L10,I10,IMPRODUCT(F18,G10)))</f>
        <v>-0,654391443997033-0,916757224033806j</v>
      </c>
      <c r="K35" s="16" t="n">
        <f aca="false">I35*F23</f>
        <v>1950.90130693074</v>
      </c>
      <c r="L35" s="4" t="n">
        <v>0</v>
      </c>
      <c r="M35" s="4" t="n">
        <v>0</v>
      </c>
      <c r="N35" s="16" t="n">
        <f aca="false">IMABS(IMSUM(E35,J35))</f>
        <v>2.34772433096158</v>
      </c>
      <c r="O35" s="18" t="n">
        <f aca="false">N35*F23</f>
        <v>4066.37782339111</v>
      </c>
      <c r="Q35" s="16" t="n">
        <f aca="false">IMABS(IMPRODUCT(D24,IMPRODUCT(N17,G10)))</f>
        <v>52.1249552432531</v>
      </c>
      <c r="R35" s="16" t="n">
        <f aca="false">C35/F35</f>
        <v>13.0312388108134</v>
      </c>
      <c r="S35" s="16" t="n">
        <f aca="false">H35/K35</f>
        <v>39.0937164324397</v>
      </c>
      <c r="T35" s="4" t="n">
        <f aca="false">(R35/Q35)*100</f>
        <v>25.0000000000003</v>
      </c>
      <c r="U35" s="9" t="s">
        <v>40</v>
      </c>
    </row>
    <row r="36" customFormat="false" ht="12.8" hidden="false" customHeight="false" outlineLevel="0" collapsed="false">
      <c r="A36" s="1" t="s">
        <v>42</v>
      </c>
      <c r="B36" s="19" t="n">
        <f aca="false">IMABS(IMSUB(E27,IMPRODUCT(E36,IMSUM(B10,D10))))</f>
        <v>0.194425658877859</v>
      </c>
      <c r="C36" s="16" t="n">
        <f aca="false">B36*(F22/(SQRT(3)))</f>
        <v>56125.853245251</v>
      </c>
      <c r="D36" s="16" t="n">
        <f aca="false">IMABS(IMDIV(E27,IMSUM(B10,D10,IMPRODUCT(G18,G10) )))</f>
        <v>1.24333062075243</v>
      </c>
      <c r="E36" s="16" t="str">
        <f aca="false">IMDIV(E27,IMSUM(B10,D10,IMPRODUCT(G18,G10)))</f>
        <v>0,111348962412485-1,23833454327588j</v>
      </c>
      <c r="F36" s="17" t="n">
        <f aca="false">D36*F23</f>
        <v>2153.51180574936</v>
      </c>
      <c r="G36" s="16" t="n">
        <f aca="false">IMABS(IMSUB(E28,IMPRODUCT(J36,IMSUM(I10,L10))))</f>
        <v>0.193091753682451</v>
      </c>
      <c r="H36" s="16" t="n">
        <f aca="false">G36*(H22/SQRT(3))</f>
        <v>55740.7879834301</v>
      </c>
      <c r="I36" s="16" t="n">
        <f aca="false">IMABS(IMDIV(C28,IMSUM(I10,L10,IMPRODUCT(H18,G10) )))</f>
        <v>1.23480044431273</v>
      </c>
      <c r="J36" s="16" t="str">
        <f aca="false">IMDIV(E28,IMSUM(L10,I10,IMPRODUCT(H18,G10)))</f>
        <v>-0,71552531556579-1,00635762036136j</v>
      </c>
      <c r="K36" s="16" t="n">
        <f aca="false">I36*F23</f>
        <v>2138.73710675827</v>
      </c>
      <c r="L36" s="4" t="n">
        <v>0</v>
      </c>
      <c r="M36" s="4" t="n">
        <v>0</v>
      </c>
      <c r="N36" s="16" t="n">
        <f aca="false">IMABS(IMSUM(E36,J36))</f>
        <v>2.32457995672424</v>
      </c>
      <c r="O36" s="18" t="n">
        <f aca="false">N36*F23</f>
        <v>4026.29059130264</v>
      </c>
      <c r="Q36" s="16" t="n">
        <f aca="false">IMABS(IMPRODUCT(D24,IMPRODUCT(N17,G10)))</f>
        <v>52.1249552432531</v>
      </c>
      <c r="R36" s="16" t="n">
        <f aca="false">C36/F36</f>
        <v>26.0624776216265</v>
      </c>
      <c r="S36" s="16" t="n">
        <f aca="false">H36/K36</f>
        <v>26.0624776216268</v>
      </c>
      <c r="T36" s="4" t="n">
        <f aca="false">(R36/Q36)*100</f>
        <v>49.9999999999998</v>
      </c>
      <c r="U36" s="9" t="s">
        <v>40</v>
      </c>
    </row>
    <row r="37" customFormat="false" ht="12.8" hidden="false" customHeight="false" outlineLevel="0" collapsed="false">
      <c r="A37" s="1" t="s">
        <v>43</v>
      </c>
      <c r="B37" s="19" t="n">
        <f aca="false">IMABS(IMSUB(E27,IMPRODUCT(E37,IMSUM(B10,D10))))</f>
        <v>0.266270657138407</v>
      </c>
      <c r="C37" s="16" t="n">
        <f aca="false">B37*(F22/(SQRT(3)))</f>
        <v>76865.7177880788</v>
      </c>
      <c r="D37" s="16" t="n">
        <f aca="false">IMABS(IMDIV(E27,IMSUM(B10,D10,IMPRODUCT(I18,G10) )))</f>
        <v>1.13518096784413</v>
      </c>
      <c r="E37" s="16" t="str">
        <f aca="false">IMDIV(E27,IMSUM(B10,D10,IMPRODUCT(I18,G10)))</f>
        <v>0,104486819931915-1,13036203679001j</v>
      </c>
      <c r="F37" s="17" t="n">
        <f aca="false">D37*F23</f>
        <v>1966.19111209125</v>
      </c>
      <c r="G37" s="16" t="n">
        <f aca="false">IMABS(IMSUB(E28,IMPRODUCT(J37,IMSUM(I10,L10))))</f>
        <v>0.106831312050452</v>
      </c>
      <c r="H37" s="16" t="n">
        <f aca="false">G37*(H22/SQRT(3))</f>
        <v>30839.5433851047</v>
      </c>
      <c r="I37" s="16" t="n">
        <f aca="false">IMABS(IMDIV(C28,IMSUM(I10,L10,IMPRODUCT(K18,G10) )))</f>
        <v>1.36634888927832</v>
      </c>
      <c r="J37" s="16" t="str">
        <f aca="false">IMDIV(E28,IMSUM(L10,I10,IMPRODUCT(K18,G10)))</f>
        <v>-0,789236800117179-1,11535400683948j</v>
      </c>
      <c r="K37" s="16" t="n">
        <f aca="false">I37*F23</f>
        <v>2366.58569709535</v>
      </c>
      <c r="L37" s="4" t="n">
        <v>0</v>
      </c>
      <c r="M37" s="4" t="n">
        <v>0</v>
      </c>
      <c r="N37" s="16" t="n">
        <f aca="false">IMABS(IMSUM(E37,J37))</f>
        <v>2.34779110739832</v>
      </c>
      <c r="O37" s="18" t="n">
        <f aca="false">N37*F23</f>
        <v>4066.49348357228</v>
      </c>
      <c r="Q37" s="16" t="n">
        <f aca="false">IMABS(IMPRODUCT(D24,IMPRODUCT(N17,G10)))</f>
        <v>52.1249552432531</v>
      </c>
      <c r="R37" s="16" t="n">
        <f aca="false">C37/F37</f>
        <v>39.0937164324398</v>
      </c>
      <c r="S37" s="16" t="n">
        <f aca="false">H37/K37</f>
        <v>13.0312388108133</v>
      </c>
      <c r="T37" s="4" t="n">
        <f aca="false">(R37/Q37)*100</f>
        <v>74.9999999999999</v>
      </c>
      <c r="U37" s="9" t="s">
        <v>40</v>
      </c>
    </row>
    <row r="38" customFormat="false" ht="12.8" hidden="false" customHeight="false" outlineLevel="0" collapsed="false">
      <c r="T38" s="20" t="n">
        <v>100</v>
      </c>
    </row>
    <row r="40" customFormat="false" ht="12.8" hidden="false" customHeight="false" outlineLevel="0" collapsed="false">
      <c r="B40" s="1" t="s">
        <v>44</v>
      </c>
    </row>
    <row r="41" customFormat="false" ht="12.8" hidden="false" customHeight="false" outlineLevel="0" collapsed="false">
      <c r="D41" s="21"/>
      <c r="E41" s="21"/>
    </row>
    <row r="42" customFormat="false" ht="18.65" hidden="false" customHeight="true" outlineLevel="0" collapsed="false">
      <c r="A42" s="14" t="s">
        <v>45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customFormat="false" ht="12.8" hidden="false" customHeight="false" outlineLevel="0" collapsed="false">
      <c r="B43" s="3" t="s">
        <v>26</v>
      </c>
      <c r="C43" s="3"/>
      <c r="D43" s="3"/>
      <c r="E43" s="3"/>
      <c r="F43" s="3"/>
      <c r="G43" s="3" t="s">
        <v>27</v>
      </c>
      <c r="H43" s="3"/>
      <c r="I43" s="3"/>
      <c r="J43" s="3"/>
      <c r="K43" s="3"/>
      <c r="L43" s="3" t="s">
        <v>28</v>
      </c>
      <c r="M43" s="3"/>
      <c r="N43" s="3"/>
      <c r="O43" s="3"/>
    </row>
    <row r="44" customFormat="false" ht="12.8" hidden="false" customHeight="false" outlineLevel="0" collapsed="false">
      <c r="A44" s="1" t="s">
        <v>39</v>
      </c>
      <c r="B44" s="4" t="s">
        <v>20</v>
      </c>
      <c r="C44" s="4" t="s">
        <v>31</v>
      </c>
      <c r="D44" s="4" t="s">
        <v>32</v>
      </c>
      <c r="E44" s="4"/>
      <c r="F44" s="4" t="s">
        <v>33</v>
      </c>
      <c r="G44" s="4" t="s">
        <v>34</v>
      </c>
      <c r="H44" s="4" t="s">
        <v>35</v>
      </c>
      <c r="I44" s="4" t="s">
        <v>32</v>
      </c>
      <c r="J44" s="4"/>
      <c r="K44" s="4" t="s">
        <v>33</v>
      </c>
      <c r="L44" s="4" t="s">
        <v>34</v>
      </c>
      <c r="M44" s="4" t="s">
        <v>35</v>
      </c>
      <c r="N44" s="4" t="s">
        <v>32</v>
      </c>
      <c r="O44" s="4" t="s">
        <v>33</v>
      </c>
    </row>
    <row r="45" customFormat="false" ht="12.8" hidden="false" customHeight="false" outlineLevel="0" collapsed="false">
      <c r="A45" s="1" t="s">
        <v>41</v>
      </c>
    </row>
    <row r="46" customFormat="false" ht="12.8" hidden="false" customHeight="false" outlineLevel="0" collapsed="false">
      <c r="A46" s="1" t="s">
        <v>42</v>
      </c>
    </row>
    <row r="47" customFormat="false" ht="12.8" hidden="false" customHeight="false" outlineLevel="0" collapsed="false">
      <c r="A47" s="1" t="s">
        <v>43</v>
      </c>
    </row>
    <row r="54" customFormat="false" ht="12.8" hidden="false" customHeight="false" outlineLevel="0" collapsed="false">
      <c r="X54" s="0" t="n">
        <v>5</v>
      </c>
    </row>
  </sheetData>
  <mergeCells count="44">
    <mergeCell ref="A2:A3"/>
    <mergeCell ref="B2:C2"/>
    <mergeCell ref="D2:F2"/>
    <mergeCell ref="G2:H2"/>
    <mergeCell ref="I2:K2"/>
    <mergeCell ref="L2:M2"/>
    <mergeCell ref="B9:C9"/>
    <mergeCell ref="D9:F9"/>
    <mergeCell ref="G9:H9"/>
    <mergeCell ref="I9:K9"/>
    <mergeCell ref="L9:M9"/>
    <mergeCell ref="B10:C10"/>
    <mergeCell ref="D10:F10"/>
    <mergeCell ref="G10:H10"/>
    <mergeCell ref="I10:K10"/>
    <mergeCell ref="L10:M10"/>
    <mergeCell ref="B11:C11"/>
    <mergeCell ref="D11:F11"/>
    <mergeCell ref="G11:H11"/>
    <mergeCell ref="I11:K11"/>
    <mergeCell ref="L11:M11"/>
    <mergeCell ref="B12:C12"/>
    <mergeCell ref="D12:F12"/>
    <mergeCell ref="G12:H12"/>
    <mergeCell ref="I12:K12"/>
    <mergeCell ref="L12:M12"/>
    <mergeCell ref="A16:A18"/>
    <mergeCell ref="B16:C16"/>
    <mergeCell ref="D16:F16"/>
    <mergeCell ref="G16:H16"/>
    <mergeCell ref="I16:K16"/>
    <mergeCell ref="A20:A24"/>
    <mergeCell ref="E26:G26"/>
    <mergeCell ref="E27:G27"/>
    <mergeCell ref="E28:G28"/>
    <mergeCell ref="A31:O31"/>
    <mergeCell ref="B32:F32"/>
    <mergeCell ref="G32:K32"/>
    <mergeCell ref="L32:O32"/>
    <mergeCell ref="Q32:T32"/>
    <mergeCell ref="A42:O42"/>
    <mergeCell ref="B43:F43"/>
    <mergeCell ref="G43:K43"/>
    <mergeCell ref="L43:O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2023-03-24T15:09:55Z</dcterms:created>
  <dc:creator>openpyxl</dc:creator>
  <dc:description/>
  <dc:language>pt-BR</dc:language>
  <cp:lastModifiedBy/>
  <dcterms:modified xsi:type="dcterms:W3CDTF">2026-06-06T19:14:59Z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10B42DA9EF054ACEA48B797A0D1B8304</vt:lpwstr>
  </property>
  <property fmtid="{D5CDD505-2E9C-101B-9397-08002B2CF9AE}" pid="4" name="KSOProductBuildVer">
    <vt:lpwstr>1046-12.1.0.25242</vt:lpwstr>
  </property>
</Properties>
</file>